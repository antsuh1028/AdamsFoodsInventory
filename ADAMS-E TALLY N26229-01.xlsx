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9\Share\Registration Forms\2026\"/>
    </mc:Choice>
  </mc:AlternateContent>
  <xr:revisionPtr revIDLastSave="0" documentId="13_ncr:1_{C3990732-1006-42D0-AE5B-929EA6DC7CD9}" xr6:coauthVersionLast="47" xr6:coauthVersionMax="47" xr10:uidLastSave="{00000000-0000-0000-0000-000000000000}"/>
  <bookViews>
    <workbookView xWindow="11424" yWindow="0" windowWidth="11712" windowHeight="12336" xr2:uid="{5A156F12-7398-447D-BA3C-67407C040202}"/>
  </bookViews>
  <sheets>
    <sheet name="Sheet1" sheetId="1" r:id="rId1"/>
  </sheets>
  <definedNames>
    <definedName name="_xlnm.Print_Area" localSheetId="0">Sheet1!$G:$R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17" i="1"/>
  <c r="R18" i="1"/>
  <c r="G7" i="1" a="1"/>
  <c r="G7" i="1"/>
  <c r="R9" i="1"/>
  <c r="R10" i="1"/>
  <c r="R11" i="1"/>
  <c r="R12" i="1"/>
  <c r="R13" i="1"/>
  <c r="R14" i="1"/>
  <c r="R15" i="1"/>
  <c r="R16" i="1"/>
  <c r="R19" i="1"/>
  <c r="R20" i="1"/>
  <c r="R21" i="1"/>
  <c r="R22" i="1"/>
  <c r="G8" i="1" a="1"/>
  <c r="G8" i="1"/>
  <c r="G9" i="1" a="1"/>
  <c r="G9" i="1"/>
  <c r="G11" i="1" a="1"/>
  <c r="G11" i="1"/>
  <c r="R7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10" i="1" a="1"/>
  <c r="G10" i="1"/>
  <c r="R23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<sst xmlns="http://schemas.openxmlformats.org/spreadsheetml/2006/main" count="17" uniqueCount="17">
  <si>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Date</t>
  </si>
  <si>
    <t>Box/Pcs.</t>
  </si>
  <si>
    <t>Item</t>
  </si>
  <si>
    <t>ASSEMBLED BY</t>
  </si>
  <si>
    <t>CHECKED BY</t>
  </si>
  <si>
    <t>Ship To          Bill of Lading</t>
  </si>
  <si>
    <t>Total</t>
  </si>
  <si>
    <t>Subtotal:</t>
  </si>
  <si>
    <t>MEMO:</t>
  </si>
  <si>
    <t>Item Description:</t>
  </si>
  <si>
    <t>Total Boxes:</t>
  </si>
  <si>
    <t>Noblesse Trading</t>
  </si>
  <si>
    <t>Lot#</t>
  </si>
  <si>
    <t>Vendor</t>
  </si>
  <si>
    <t>TREX/GOP</t>
  </si>
  <si>
    <t>N26229-01</t>
  </si>
  <si>
    <t>HUMERUS 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</si>
</sst>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18" xfId="0" applyBorder="1"/>
    <xf numFmtId="0" fontId="1" fillId="0" borderId="7" xfId="0" applyFont="1" applyBorder="1"/>
    <xf numFmtId="0" fontId="0" fillId="0" borderId="17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3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6" xfId="0" applyBorder="1" applyProtection="1">
      <protection locked="0"/>
    </xf>
    <xf numFmtId="0" fontId="5" fillId="0" borderId="12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7" fillId="0" borderId="3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14" xfId="0" applyBorder="1" applyAlignment="1" applyProtection="1">
      <alignment horizontal="left" vertical="top"/>
      <protection locked="0"/>
    </xf>
    <xf numFmtId="0" fontId="0" fillId="0" borderId="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5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8D1CEB-C90F-B241-86DC-430D1B97AA69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0F73-3FB3-4828-A2B1-658F5C281A0D}">
  <sheetPr codeName="Sheet1">
    <pageSetUpPr fitToPage="1"/>
  </sheetPr>
  <dimension ref="C1:V1048573"/>
  <sheetViews>
    <sheetView showGridLines="0" showRowColHeaders="0" tabSelected="1" zoomScaleNormal="100" workbookViewId="0">
      <pane ySplit="1" topLeftCell="A2" activePane="bottomLeft" state="frozen"/>
      <selection activeCell="H3" sqref="H3:M3"/>
      <selection pane="bottomLeft" activeCell="N8" sqref="N8"/>
    </sheetView>
  </sheetViews>
  <sheetFormatPr defaultColWidth="0" defaultRowHeight="14.4" zeroHeight="1" x14ac:dyDescent="0.3"/>
  <cols>
    <col min="1" max="2" width="8.77734375" hidden="1" customWidth="1"/>
    <col min="3" max="3" width="1.109375" customWidth="1"/>
    <col min="4" max="5" width="8.77734375" hidden="1" customWidth="1"/>
    <col min="6" max="6" width="0.77734375" customWidth="1"/>
    <col min="7" max="18" width="9.109375" customWidth="1"/>
    <col min="19" max="19" width="8.77734375" hidden="1" customWidth="1"/>
    <col min="20" max="20" width="2.33203125" customWidth="1"/>
    <col min="21" max="21" width="8.77734375" hidden="1" customWidth="1"/>
    <col min="22" max="22" width="26.109375" hidden="1" customWidth="1"/>
    <col min="23" max="16384" width="8.77734375" hidden="1"/>
  </cols>
  <sheetData>
    <row r="1" spans="7:18" ht="45.6" customHeight="1" x14ac:dyDescent="0.6">
      <c r="G1" s="22" t="s">
        <v>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7:18" ht="21.6" customHeight="1" x14ac:dyDescent="0.3">
      <c r="G2" s="31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7:18" x14ac:dyDescent="0.3">
      <c r="G3" s="1" t="s">
        <v>13</v>
      </c>
      <c r="H3" s="38" t="s">
        <v>14</v>
      </c>
      <c r="I3" s="38"/>
      <c r="J3" s="38"/>
      <c r="K3" s="38"/>
      <c r="L3" s="38"/>
      <c r="M3" s="38"/>
      <c r="O3" s="1" t="s">
        <v>0</v>
      </c>
      <c r="P3" s="39">
        <v>46251</v>
      </c>
      <c r="Q3" s="38"/>
      <c r="R3" s="38"/>
    </row>
    <row r="4" spans="7:18" ht="21.6" customHeight="1" thickBot="1" x14ac:dyDescent="0.35">
      <c r="G4" s="8" t="s">
        <v>5</v>
      </c>
      <c r="H4" s="37"/>
      <c r="I4" s="37"/>
      <c r="J4" s="37"/>
      <c r="K4" s="37"/>
      <c r="L4" s="37"/>
      <c r="M4" s="37"/>
      <c r="O4" s="17" t="s">
        <v>12</v>
      </c>
      <c r="P4" s="37" t="s">
        <v>15</v>
      </c>
      <c r="Q4" s="37"/>
      <c r="R4" s="37"/>
    </row>
    <row r="5" spans="7:18" ht="30.6" customHeight="1" thickBot="1" x14ac:dyDescent="0.35">
      <c r="G5" s="35" t="s">
        <v>9</v>
      </c>
      <c r="H5" s="36"/>
      <c r="I5" s="33" t="s">
        <v>16</v>
      </c>
      <c r="J5" s="33"/>
      <c r="K5" s="33"/>
      <c r="L5" s="33"/>
      <c r="M5" s="33"/>
      <c r="N5" s="33"/>
      <c r="O5" s="33"/>
      <c r="P5" s="33"/>
      <c r="Q5" s="33"/>
      <c r="R5" s="34"/>
    </row>
    <row r="6" spans="7:18" x14ac:dyDescent="0.3">
      <c r="G6" s="5" t="s">
        <v>1</v>
      </c>
      <c r="H6" s="28" t="s">
        <v>2</v>
      </c>
      <c r="I6" s="29"/>
      <c r="J6" s="29"/>
      <c r="K6" s="29"/>
      <c r="L6" s="29"/>
      <c r="M6" s="29"/>
      <c r="N6" s="29"/>
      <c r="O6" s="30"/>
      <c r="P6" s="6"/>
      <c r="Q6" s="6"/>
      <c r="R6" s="7" t="s">
        <v>6</v>
      </c>
    </row>
    <row r="7" spans="7:18" ht="29.4" customHeight="1" x14ac:dyDescent="0.3">
      <c r="G7" s="9" cm="1">
        <f t="array" ref="G7">SUMPRODUCT(--ISNUMBER(H7:Q7))</f>
        <v>10</v>
      </c>
      <c r="H7" s="18">
        <v>68.3</v>
      </c>
      <c r="I7" s="19">
        <v>66.3</v>
      </c>
      <c r="J7" s="19">
        <v>67.900000000000006</v>
      </c>
      <c r="K7" s="20">
        <v>66.7</v>
      </c>
      <c r="L7" s="19">
        <v>70.5</v>
      </c>
      <c r="M7" s="19">
        <v>76.44</v>
      </c>
      <c r="N7" s="19">
        <v>65.400000000000006</v>
      </c>
      <c r="O7" s="19">
        <v>62.9</v>
      </c>
      <c r="P7" s="19">
        <v>64.5</v>
      </c>
      <c r="Q7" s="19">
        <v>71.3</v>
      </c>
      <c r="R7" s="13">
        <f>SUM(H7:Q7)</f>
        <v>680.2399999999999</v>
      </c>
    </row>
    <row r="8" spans="7:18" ht="29.4" customHeight="1" x14ac:dyDescent="0.3">
      <c r="G8" s="9" cm="1">
        <f t="array" ref="G8">SUMPRODUCT(--ISNUMBER(H8:Q8))</f>
        <v>10</v>
      </c>
      <c r="H8" s="20">
        <v>67.2</v>
      </c>
      <c r="I8" s="19">
        <v>64.099999999999994</v>
      </c>
      <c r="J8" s="19">
        <v>65.2</v>
      </c>
      <c r="K8" s="19">
        <v>69.7</v>
      </c>
      <c r="L8" s="19">
        <v>70.599999999999994</v>
      </c>
      <c r="M8" s="19">
        <v>66.8</v>
      </c>
      <c r="N8" s="19">
        <v>70.8</v>
      </c>
      <c r="O8" s="19">
        <v>65.400000000000006</v>
      </c>
      <c r="P8" s="19">
        <v>67.5</v>
      </c>
      <c r="Q8" s="19">
        <v>68</v>
      </c>
      <c r="R8" s="13">
        <f>SUM(H8:Q8)</f>
        <v>675.3</v>
      </c>
    </row>
    <row r="9" spans="7:18" ht="29.4" customHeight="1" x14ac:dyDescent="0.3">
      <c r="G9" s="9" cm="1">
        <f t="array" ref="G9">SUMPRODUCT(--ISNUMBER(H9:Q9))</f>
        <v>10</v>
      </c>
      <c r="H9" s="18">
        <v>72.599999999999994</v>
      </c>
      <c r="I9" s="19">
        <v>68.8</v>
      </c>
      <c r="J9" s="19">
        <v>69.7</v>
      </c>
      <c r="K9" s="19">
        <v>68.2</v>
      </c>
      <c r="L9" s="19">
        <v>67.7</v>
      </c>
      <c r="M9" s="19">
        <v>76.8</v>
      </c>
      <c r="N9" s="19">
        <v>78.7</v>
      </c>
      <c r="O9" s="19">
        <v>75.3</v>
      </c>
      <c r="P9" s="19">
        <v>74.3</v>
      </c>
      <c r="Q9" s="19">
        <v>71.5</v>
      </c>
      <c r="R9" s="13">
        <f t="shared" ref="R9:R22" si="0">SUM(H9:Q9)</f>
        <v>723.59999999999991</v>
      </c>
    </row>
    <row r="10" spans="7:18" ht="29.4" customHeight="1" x14ac:dyDescent="0.3">
      <c r="G10" s="9" cm="1">
        <f t="array" ref="G10">SUMPRODUCT(--ISNUMBER(H10:Q10))</f>
        <v>10</v>
      </c>
      <c r="H10" s="15">
        <v>72</v>
      </c>
      <c r="I10" s="14">
        <v>78.5</v>
      </c>
      <c r="J10" s="14">
        <v>71.8</v>
      </c>
      <c r="K10" s="14">
        <v>78</v>
      </c>
      <c r="L10" s="14">
        <v>79</v>
      </c>
      <c r="M10" s="14">
        <v>78</v>
      </c>
      <c r="N10" s="14">
        <v>75.8</v>
      </c>
      <c r="O10" s="14">
        <v>79.599999999999994</v>
      </c>
      <c r="P10" s="14">
        <v>76.7</v>
      </c>
      <c r="Q10" s="14">
        <v>64.3</v>
      </c>
      <c r="R10" s="13">
        <f t="shared" si="0"/>
        <v>753.7</v>
      </c>
    </row>
    <row r="11" spans="7:18" ht="29.4" customHeight="1" x14ac:dyDescent="0.3">
      <c r="G11" s="9" cm="1">
        <f t="array" ref="G11">SUMPRODUCT(--ISNUMBER(H11:Q11))</f>
        <v>10</v>
      </c>
      <c r="H11" s="16">
        <v>67.900000000000006</v>
      </c>
      <c r="I11" s="14">
        <v>75.400000000000006</v>
      </c>
      <c r="J11" s="14">
        <v>75.099999999999994</v>
      </c>
      <c r="K11" s="14">
        <v>73</v>
      </c>
      <c r="L11" s="14">
        <v>73</v>
      </c>
      <c r="M11" s="14">
        <v>82</v>
      </c>
      <c r="N11" s="14">
        <v>74.599999999999994</v>
      </c>
      <c r="O11" s="14">
        <v>80.099999999999994</v>
      </c>
      <c r="P11" s="14">
        <v>70.7</v>
      </c>
      <c r="Q11" s="14">
        <v>82.7</v>
      </c>
      <c r="R11" s="13">
        <f t="shared" si="0"/>
        <v>754.50000000000011</v>
      </c>
    </row>
    <row r="12" spans="7:18" ht="29.4" customHeight="1" x14ac:dyDescent="0.3">
      <c r="G12" s="9" cm="1">
        <f t="array" ref="G12">SUMPRODUCT(--ISNUMBER(H12:Q12))</f>
        <v>10</v>
      </c>
      <c r="H12" s="16">
        <v>80.5</v>
      </c>
      <c r="I12" s="14">
        <v>79.099999999999994</v>
      </c>
      <c r="J12" s="14">
        <v>81</v>
      </c>
      <c r="K12" s="14">
        <v>81.7</v>
      </c>
      <c r="L12" s="14">
        <v>74.2</v>
      </c>
      <c r="M12" s="21">
        <v>82.5</v>
      </c>
      <c r="N12" s="14">
        <v>76.3</v>
      </c>
      <c r="O12" s="14">
        <v>80.8</v>
      </c>
      <c r="P12" s="14">
        <v>79.8</v>
      </c>
      <c r="Q12" s="14">
        <v>73.099999999999994</v>
      </c>
      <c r="R12" s="13">
        <f t="shared" si="0"/>
        <v>788.99999999999989</v>
      </c>
    </row>
    <row r="13" spans="7:18" ht="29.4" customHeight="1" x14ac:dyDescent="0.3">
      <c r="G13" s="9" cm="1">
        <f t="array" ref="G13">SUMPRODUCT(--ISNUMBER(H13:Q13))</f>
        <v>4</v>
      </c>
      <c r="H13" s="16">
        <v>76.5</v>
      </c>
      <c r="I13" s="14">
        <v>80.3</v>
      </c>
      <c r="J13" s="14">
        <v>64.5</v>
      </c>
      <c r="K13" s="14">
        <v>76.7</v>
      </c>
      <c r="L13" s="14"/>
      <c r="M13" s="14"/>
      <c r="N13" s="14"/>
      <c r="O13" s="14"/>
      <c r="P13" s="14"/>
      <c r="Q13" s="14"/>
      <c r="R13" s="13">
        <f t="shared" si="0"/>
        <v>298</v>
      </c>
    </row>
    <row r="14" spans="7:18" ht="29.4" customHeight="1" x14ac:dyDescent="0.3">
      <c r="G14" s="9" cm="1">
        <f t="array" ref="G14">SUMPRODUCT(--ISNUMBER(H14:Q14))</f>
        <v>0</v>
      </c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3">
        <f t="shared" si="0"/>
        <v>0</v>
      </c>
    </row>
    <row r="15" spans="7:18" ht="29.4" customHeight="1" x14ac:dyDescent="0.3">
      <c r="G15" s="9" cm="1">
        <f t="array" ref="G15">SUMPRODUCT(--ISNUMBER(H15:Q15))</f>
        <v>0</v>
      </c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3">
        <f t="shared" si="0"/>
        <v>0</v>
      </c>
    </row>
    <row r="16" spans="7:18" ht="29.4" customHeight="1" x14ac:dyDescent="0.3">
      <c r="G16" s="9" cm="1">
        <f t="array" ref="G16">SUMPRODUCT(--ISNUMBER(H16:Q16))</f>
        <v>0</v>
      </c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3">
        <f t="shared" si="0"/>
        <v>0</v>
      </c>
    </row>
    <row r="17" spans="7:18" ht="29.4" customHeight="1" x14ac:dyDescent="0.3">
      <c r="G17" s="9" cm="1">
        <f t="array" ref="G17">SUMPRODUCT(--ISNUMBER(H17:Q17))</f>
        <v>0</v>
      </c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3">
        <f t="shared" si="0"/>
        <v>0</v>
      </c>
    </row>
    <row r="18" spans="7:18" ht="29.4" customHeight="1" x14ac:dyDescent="0.3">
      <c r="G18" s="9" cm="1">
        <f t="array" ref="G18">SUMPRODUCT(--ISNUMBER(H18:Q18))</f>
        <v>0</v>
      </c>
      <c r="H18" s="16"/>
      <c r="I18" s="12"/>
      <c r="J18" s="12"/>
      <c r="K18" s="12"/>
      <c r="L18" s="12"/>
      <c r="M18" s="12"/>
      <c r="N18" s="12"/>
      <c r="O18" s="12"/>
      <c r="P18" s="12"/>
      <c r="Q18" s="12"/>
      <c r="R18" s="13">
        <f>SUM(H18:Q18)</f>
        <v>0</v>
      </c>
    </row>
    <row r="19" spans="7:18" ht="29.4" customHeight="1" x14ac:dyDescent="0.3">
      <c r="G19" s="9" cm="1">
        <f t="array" ref="G19">SUMPRODUCT(--ISNUMBER(H19:Q19))</f>
        <v>0</v>
      </c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3">
        <f t="shared" si="0"/>
        <v>0</v>
      </c>
    </row>
    <row r="20" spans="7:18" ht="29.4" customHeight="1" x14ac:dyDescent="0.3">
      <c r="G20" s="9" cm="1">
        <f t="array" ref="G20">SUMPRODUCT(--ISNUMBER(H20:Q20))</f>
        <v>0</v>
      </c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3">
        <f t="shared" si="0"/>
        <v>0</v>
      </c>
    </row>
    <row r="21" spans="7:18" ht="29.4" customHeight="1" x14ac:dyDescent="0.3">
      <c r="G21" s="9" cm="1">
        <f t="array" ref="G21">SUMPRODUCT(--ISNUMBER(H21:Q21))</f>
        <v>0</v>
      </c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3">
        <f t="shared" si="0"/>
        <v>0</v>
      </c>
    </row>
    <row r="22" spans="7:18" ht="29.4" customHeight="1" thickBot="1" x14ac:dyDescent="0.35">
      <c r="G22" s="9" cm="1">
        <f t="array" ref="G22">SUMPRODUCT(--ISNUMBER(H22:Q22))</f>
        <v>0</v>
      </c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3">
        <f t="shared" si="0"/>
        <v>0</v>
      </c>
    </row>
    <row r="23" spans="7:18" ht="18.899999999999999" customHeight="1" thickBot="1" x14ac:dyDescent="0.35">
      <c r="G23" s="10" t="s">
        <v>10</v>
      </c>
      <c r="H23" s="4">
        <f>SUM(G7:G22)</f>
        <v>64</v>
      </c>
      <c r="I23" s="2"/>
      <c r="J23" s="2"/>
      <c r="K23" s="2"/>
      <c r="L23" s="2"/>
      <c r="M23" s="2"/>
      <c r="N23" s="2"/>
      <c r="O23" s="2"/>
      <c r="P23" s="2"/>
      <c r="Q23" s="3" t="s">
        <v>7</v>
      </c>
      <c r="R23" s="4">
        <f>SUM(R7:R22)</f>
        <v>4674.34</v>
      </c>
    </row>
    <row r="24" spans="7:18" ht="23.1" customHeight="1" x14ac:dyDescent="0.3">
      <c r="G24" s="27" t="s">
        <v>3</v>
      </c>
      <c r="H24" s="27"/>
      <c r="I24" s="38"/>
      <c r="J24" s="38"/>
      <c r="K24" s="38"/>
      <c r="L24" s="38"/>
      <c r="N24" s="26" t="s">
        <v>4</v>
      </c>
      <c r="O24" s="26"/>
      <c r="P24" s="38"/>
      <c r="Q24" s="38"/>
      <c r="R24" s="38"/>
    </row>
    <row r="25" spans="7:18" x14ac:dyDescent="0.3"/>
    <row r="26" spans="7:18" x14ac:dyDescent="0.3">
      <c r="G26" t="s">
        <v>8</v>
      </c>
    </row>
    <row r="27" spans="7:18" ht="117" customHeight="1" x14ac:dyDescent="0.3">
      <c r="G27" s="2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5"/>
    </row>
    <row r="48" ht="6.75" customHeight="1" x14ac:dyDescent="0.3"/>
    <row r="1048573" ht="72.599999999999994" hidden="1" customHeight="1" x14ac:dyDescent="0.3"/>
  </sheetData>
  <mergeCells count="14">
    <mergeCell ref="G1:R1"/>
    <mergeCell ref="G27:R27"/>
    <mergeCell ref="N24:O24"/>
    <mergeCell ref="G24:H24"/>
    <mergeCell ref="H6:O6"/>
    <mergeCell ref="G2:R2"/>
    <mergeCell ref="I5:R5"/>
    <mergeCell ref="G5:H5"/>
    <mergeCell ref="H4:M4"/>
    <mergeCell ref="H3:M3"/>
    <mergeCell ref="P4:R4"/>
    <mergeCell ref="P3:R3"/>
    <mergeCell ref="P24:R24"/>
    <mergeCell ref="I24:L24"/>
  </mergeCells>
  <phoneticPr fontId="4" alignment="center"/>
  <pageMargins left="0.25" right="0.25" top="0.1" bottom="0.25" header="0.3" footer="0.3"/>
  <pageSetup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Suh</dc:creator>
  <cp:lastModifiedBy>sales adamsfoods</cp:lastModifiedBy>
  <cp:lastPrinted>2023-09-18T02:32:34Z</cp:lastPrinted>
  <dcterms:created xsi:type="dcterms:W3CDTF">2023-09-14T22:05:13Z</dcterms:created>
  <dcterms:modified xsi:type="dcterms:W3CDTF">2026-08-25T19:41:50Z</dcterms:modified>
</cp:coreProperties>
</file>